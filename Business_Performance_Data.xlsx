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lex computers\Desktop\final sem ayesha\data analytics\"/>
    </mc:Choice>
  </mc:AlternateContent>
  <xr:revisionPtr revIDLastSave="0" documentId="13_ncr:1_{2AA0961A-AF96-4B16-A6C0-7FC4FD41FA79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2" sheetId="2" state="hidden" r:id="rId1"/>
    <sheet name="Pivot_PaymentMethod" sheetId="3" r:id="rId2"/>
    <sheet name="Pivot_ProductLine" sheetId="5" r:id="rId3"/>
    <sheet name="Pivot_Department" sheetId="6" r:id="rId4"/>
    <sheet name="Pivot_Region" sheetId="7" r:id="rId5"/>
    <sheet name="Pivot_AvgExpense" sheetId="8" r:id="rId6"/>
    <sheet name="Dashboard" sheetId="9" r:id="rId7"/>
    <sheet name="Raw_Data" sheetId="1" r:id="rId8"/>
  </sheets>
  <definedNames>
    <definedName name="_xlnm._FilterDatabase" localSheetId="7" hidden="1">Raw_Data!$A$1:$L$2001</definedName>
  </definedNames>
  <calcPr calcId="18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<sst xmlns="http://schemas.openxmlformats.org/spreadsheetml/2006/main" count="14115" uniqueCount="2055">
  <si>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</si>
  <si>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</si>
  <si>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</si>
  <si>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</si>
  <si>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</si>
  <si>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</si>
  <si>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</si>
  <si>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</si>
  <si>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</si>
  <si>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</si>
  <si>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</si>
  <si>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</si>
  <si>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</si>
  <si>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</si>
  <si>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</si>
  <si>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</si>
  <si>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</si>
  <si>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</si>
  <si>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</si>
  <si>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</si>
  <si>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</si>
  <si>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</si>
  <si>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</si>
  <si>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</si>
  <si>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</si>
  <si>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</si>
  <si>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</si>
  <si>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</si>
  <si>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</si>
  <si>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</si>
  <si>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</si>
  <si>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</si>
  <si>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</si>
  <si>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</si>
  <si>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</si>
  <si>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</si>
  <si>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</si>
  <si>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</si>
  <si>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</si>
  <si>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</si>
  <si>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</si>
  <si>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</si>
  <si>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</si>
  <si>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</si>
  <si>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</si>
  <si>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</si>
  <si>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</si>
  <si>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</si>
  <si>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</si>
  <si>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</si>
  <si>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</si>
  <si>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</si>
  <si>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</si>
  <si>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</si>
  <si>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</si>
  <si>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</si>
  <si>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</si>
  <si>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</si>
  <si>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</si>
  <si>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</si>
  <si>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</si>
  <si>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</si>
  <si>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</si>
  <si>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</si>
  <si>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</si>
  <si>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</si>
  <si>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</si>
  <si>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</si>
  <si>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</si>
  <si>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</si>
  <si>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</si>
  <si>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</si>
  <si>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</si>
  <si>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</si>
  <si>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</si>
  <si>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</si>
  <si>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</si>
  <si>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</si>
  <si>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</si>
  <si>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</si>
  <si>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</si>
  <si>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</si>
  <si>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</si>
  <si>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</si>
  <si>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</si>
  <si>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</si>
  <si>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</si>
  <si>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</si>
  <si>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</si>
  <si>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</si>
  <si>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</si>
  <si>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</si>
  <si>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</si>
  <si>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</si>
  <si>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</si>
  <si>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</si>
  <si>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</si>
  <si>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</si>
  <si>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</si>
  <si>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</si>
  <si>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</si>
  <si>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</si>
  <si>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</si>
  <si>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</si>
  <si>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</si>
  <si>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</si>
  <si>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</si>
  <si>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</si>
  <si>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</si>
  <si>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</si>
  <si>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</si>
  <si>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</si>
  <si>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</si>
  <si>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</si>
  <si>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</si>
  <si>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</si>
  <si>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</si>
  <si>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</si>
  <si>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</si>
  <si>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</si>
  <si>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</si>
  <si>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</si>
  <si>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</si>
  <si>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</si>
  <si>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</si>
  <si>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</si>
  <si>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</si>
  <si>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</si>
  <si>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</si>
  <si>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</si>
  <si>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</si>
  <si>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</si>
  <si>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</si>
  <si>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</si>
  <si>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</si>
  <si>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</si>
  <si>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</si>
  <si>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</si>
  <si>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</si>
  <si>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</si>
  <si>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</si>
  <si>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</si>
  <si>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</si>
  <si>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</si>
  <si>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</si>
  <si>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</si>
  <si>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</si>
  <si>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</si>
  <si>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</si>
  <si>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</si>
  <si>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</si>
  <si>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</si>
  <si>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</si>
  <si>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</si>
  <si>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</si>
  <si>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</si>
  <si>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</si>
  <si>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</si>
  <si>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</si>
  <si>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</si>
  <si>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</si>
  <si>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</si>
  <si>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</si>
  <si>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</si>
  <si>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</si>
  <si>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</si>
  <si>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</si>
  <si>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</si>
  <si>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</si>
  <si>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</si>
  <si>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</si>
  <si>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</si>
  <si>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</si>
  <si>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</si>
  <si>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</si>
  <si>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</si>
  <si>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</si>
  <si>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</si>
  <si>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</si>
  <si>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</si>
  <si>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</si>
  <si>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</si>
  <si>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</si>
  <si>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</si>
  <si>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</si>
  <si>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</si>
  <si>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</si>
  <si>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</si>
  <si>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</si>
  <si>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</si>
  <si>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</si>
  <si>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</si>
  <si>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</si>
  <si>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</si>
  <si>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</si>
  <si>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</si>
  <si>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</si>
  <si>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</si>
  <si>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</si>
  <si>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</si>
  <si>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</si>
  <si>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</si>
  <si>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</si>
  <si>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</si>
  <si>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</si>
  <si>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</si>
  <si>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</si>
  <si>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</si>
  <si>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</si>
  <si>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</si>
  <si>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</si>
  <si>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</si>
  <si>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</si>
  <si>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</si>
  <si>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</si>
  <si>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</si>
  <si>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</si>
  <si>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</si>
  <si>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</si>
  <si>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</si>
  <si>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</si>
  <si>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</si>
  <si>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</si>
  <si>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</si>
  <si>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</si>
  <si>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</si>
  <si>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</si>
  <si>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</si>
  <si>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</si>
  <si>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</si>
  <si>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</si>
  <si>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</si>
  <si>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</si>
  <si>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</si>
  <si>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</si>
  <si>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</si>
  <si>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</si>
  <si>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</si>
  <si>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</si>
  <si>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</si>
  <si>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</si>
  <si>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</si>
  <si>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</si>
  <si>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</si>
  <si>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</si>
  <si>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</si>
  <si>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</si>
  <si>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</si>
  <si>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</si>
  <si>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</si>
  <si>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</si>
  <si>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</si>
  <si>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</si>
  <si>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</si>
  <si>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</si>
  <si>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</si>
  <si>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</si>
  <si>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</si>
  <si>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</si>
  <si>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</si>
  <si>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</si>
  <si>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</si>
  <si>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</si>
  <si>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</si>
  <si>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</si>
  <si>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</si>
  <si>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</si>
  <si>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</si>
  <si>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</si>
  <si>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</si>
  <si>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</si>
  <si>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</si>
  <si>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</si>
  <si>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</si>
  <si>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</si>
  <si>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</si>
  <si>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</si>
  <si>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</si>
  <si>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</si>
  <si>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</si>
  <si>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</si>
  <si>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</si>
  <si>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</si>
  <si>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</si>
  <si>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</si>
  <si>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</si>
  <si>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</si>
  <si>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</si>
  <si>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</si>
  <si>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</si>
  <si>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</si>
  <si>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</si>
  <si>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</si>
  <si>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</si>
  <si>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</si>
  <si>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</si>
  <si>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</si>
  <si>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</si>
  <si>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</si>
  <si>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</si>
  <si>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</si>
  <si>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</si>
  <si>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</si>
  <si>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</si>
  <si>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</si>
  <si>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</si>
  <si>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</si>
  <si>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</si>
  <si>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</si>
  <si>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</si>
  <si>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</si>
  <si>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</si>
  <si>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</si>
  <si>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</si>
  <si>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</si>
  <si>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</si>
  <si>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</si>
  <si>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</si>
  <si>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</si>
  <si>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</si>
  <si>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</si>
  <si>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</si>
  <si>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</si>
  <si>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</si>
  <si>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</si>
  <si>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</si>
  <si>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</si>
  <si>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</si>
  <si>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</si>
  <si>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</si>
  <si>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</si>
  <si>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</si>
  <si>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</si>
  <si>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</si>
  <si>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</si>
  <si>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</si>
  <si>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</si>
  <si>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</si>
  <si>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</si>
  <si>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</si>
  <si>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</si>
  <si>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</si>
  <si>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</si>
  <si>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</si>
  <si>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</si>
  <si>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</si>
  <si>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</si>
  <si>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</si>
  <si>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</si>
  <si>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</si>
  <si>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</si>
  <si>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</si>
  <si>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</si>
  <si>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</si>
  <si>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</si>
  <si>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</si>
  <si>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</si>
  <si>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</si>
  <si>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</si>
  <si>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</si>
  <si>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</si>
  <si>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</si>
  <si>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</si>
  <si>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</si>
  <si>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</si>
  <si>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</si>
  <si>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</si>
  <si>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</si>
  <si>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</si>
  <si>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</si>
  <si>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</si>
  <si>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</si>
  <si>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</si>
  <si>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</si>
  <si>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</si>
  <si>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</si>
  <si>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</si>
  <si>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</si>
  <si>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</si>
  <si>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</si>
  <si>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</si>
  <si>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</si>
  <si>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</si>
  <si>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</si>
  <si>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</si>
  <si>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</si>
  <si>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</si>
  <si>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</si>
  <si>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</si>
  <si>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</si>
  <si>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</si>
  <si>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</si>
  <si>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</si>
  <si>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</si>
  <si>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</si>
  <si>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</si>
  <si>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</si>
  <si>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</si>
  <si>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</si>
  <si>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</si>
  <si>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</si>
  <si>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</si>
  <si>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</si>
  <si>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</si>
  <si>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</si>
  <si>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</si>
  <si>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</si>
  <si>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</si>
  <si>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</si>
  <si>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</si>
  <si>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</si>
  <si>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</si>
  <si>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</si>
  <si>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</si>
  <si>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</si>
  <si>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</si>
  <si>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</si>
  <si>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</si>
  <si>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</si>
  <si>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</si>
  <si>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</si>
  <si>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</si>
  <si>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</si>
  <si>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</si>
  <si>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</si>
  <si>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</si>
  <si>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</si>
  <si>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</si>
  <si>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</si>
  <si>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</si>
  <si>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</si>
  <si>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</si>
  <si>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</si>
  <si>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</si>
  <si>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</si>
  <si>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</si>
  <si>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</si>
  <si>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</si>
  <si>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</si>
  <si>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</si>
  <si>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</si>
  <si>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</si>
  <si>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</si>
  <si>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</si>
  <si>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</si>
  <si>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</si>
  <si>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</si>
  <si>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</si>
  <si>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</si>
  <si>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</si>
  <si>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</si>
  <si>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</si>
  <si>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</si>
  <si>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</si>
  <si>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</si>
  <si>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</si>
  <si>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</si>
  <si>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</si>
  <si>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</si>
  <si>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</si>
  <si>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</si>
  <si>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</si>
  <si>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</si>
  <si>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</si>
  <si>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</si>
  <si>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</si>
  <si>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</si>
  <si>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</si>
  <si>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</si>
  <si>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</si>
  <si>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</si>
  <si>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</si>
  <si>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</si>
  <si>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</si>
  <si>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</si>
  <si>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</si>
  <si>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</si>
  <si>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</si>
  <si>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</si>
  <si>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</si>
  <si>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</si>
  <si>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</si>
  <si>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</si>
  <si>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</si>
  <si>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</si>
  <si>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</si>
  <si>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</si>
  <si>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</si>
  <si>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</si>
  <si>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</si>
  <si>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</si>
  <si>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</si>
  <si>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</si>
  <si>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</si>
  <si>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</si>
  <si>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</si>
  <si>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</si>
  <si>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</si>
  <si>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</si>
  <si>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</si>
  <si>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</si>
  <si>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</si>
  <si>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</si>
  <si>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</si>
  <si>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</si>
  <si>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</si>
  <si>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</si>
  <si>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</si>
  <si>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</si>
  <si>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</si>
  <si>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</si>
  <si>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</si>
  <si>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</si>
  <si>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</si>
  <si>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</si>
  <si>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</si>
  <si>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</si>
  <si>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</si>
  <si>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</si>
  <si>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</si>
  <si>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</si>
  <si>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</si>
  <si>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</si>
  <si>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</si>
  <si>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</si>
  <si>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</si>
  <si>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</si>
  <si>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</si>
  <si>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</si>
  <si>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</si>
  <si>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</si>
  <si>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</si>
  <si>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</si>
  <si>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</si>
  <si>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</si>
  <si>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</si>
  <si>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</si>
  <si>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</si>
  <si>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</si>
  <si>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</si>
  <si>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</si>
  <si>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</si>
  <si>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</si>
  <si>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</si>
  <si>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</si>
  <si>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</si>
  <si>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</si>
  <si>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</si>
  <si>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</si>
  <si>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</si>
  <si>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</si>
  <si>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</si>
  <si>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</si>
  <si>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</si>
  <si>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</si>
  <si>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</si>
  <si>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</si>
  <si>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</si>
  <si>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</si>
  <si>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</si>
  <si>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</si>
  <si>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</si>
  <si>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</si>
  <si>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</si>
  <si>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</si>
  <si>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</si>
  <si>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</si>
  <si>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</si>
  <si>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</si>
  <si>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</si>
  <si>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</si>
  <si>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</si>
  <si>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</si>
  <si>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</si>
  <si>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</si>
  <si>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</si>
  <si>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</si>
  <si>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</si>
  <si>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</si>
  <si>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</si>
  <si>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</si>
  <si>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</si>
  <si>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</si>
  <si>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</si>
  <si>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</si>
  <si>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</si>
  <si>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</si>
  <si>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</si>
  <si>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</si>
  <si>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</si>
  <si>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</si>
  <si>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</si>
  <si>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</si>
  <si>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</si>
  <si>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</si>
  <si>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</si>
  <si>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</si>
  <si>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</si>
  <si>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</si>
  <si>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</si>
  <si>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</si>
  <si>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</si>
  <si>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</si>
  <si>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</si>
  <si>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</si>
  <si>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</si>
  <si>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</si>
  <si>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</si>
  <si>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</si>
  <si>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</si>
  <si>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</si>
  <si>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</si>
  <si>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</si>
  <si>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</si>
  <si>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</si>
  <si>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</si>
  <si>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</si>
  <si>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</si>
  <si>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</si>
  <si>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</si>
  <si>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</si>
  <si>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</si>
  <si>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</si>
  <si>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</si>
  <si>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</si>
  <si>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</si>
  <si>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</si>
  <si>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</si>
  <si>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</si>
  <si>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</si>
  <si>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</si>
  <si>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</si>
  <si>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</si>
  <si>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</si>
  <si>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</si>
  <si>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</si>
  <si>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</si>
  <si>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</si>
  <si>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</si>
  <si>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</si>
  <si>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</si>
  <si>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</si>
  <si>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</si>
  <si>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</si>
  <si>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</si>
  <si>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</si>
  <si>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</si>
  <si>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</si>
  <si>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</si>
  <si>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</si>
  <si>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</si>
  <si>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</si>
  <si>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</si>
  <si>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</si>
  <si>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</si>
  <si>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</si>
  <si>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</si>
  <si>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</si>
  <si>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</si>
  <si>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</si>
  <si>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</si>
  <si>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</si>
  <si>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</si>
  <si>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</si>
  <si>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</si>
  <si>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</si>
  <si>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</si>
  <si>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</si>
  <si>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</si>
  <si>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</si>
  <si>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</si>
  <si>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</si>
  <si>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</si>
  <si>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</si>
  <si>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</si>
  <si>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</si>
  <si>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</si>
  <si>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</si>
  <si>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</si>
  <si>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</si>
  <si>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</si>
  <si>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</si>
  <si>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</si>
  <si>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</si>
  <si>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</si>
  <si>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</si>
  <si>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</si>
  <si>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</si>
  <si>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</si>
  <si>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</si>
  <si>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</si>
  <si>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</si>
  <si>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</si>
  <si>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</si>
  <si>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</si>
  <si>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</si>
  <si>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</si>
  <si>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</si>
  <si>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</si>
  <si>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</si>
  <si>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</si>
  <si>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</si>
  <si>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</si>
  <si>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</si>
  <si>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</si>
  <si>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</si>
  <si>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</si>
  <si>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</si>
  <si>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</si>
  <si>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</si>
  <si>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</si>
  <si>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</si>
  <si>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</si>
  <si>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</si>
  <si>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</si>
  <si>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</si>
  <si>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</si>
  <si>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</si>
  <si>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</si>
  <si>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</si>
  <si>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</si>
  <si>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</si>
  <si>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</si>
  <si>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</si>
  <si>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</si>
  <si>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</si>
  <si>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</si>
  <si>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</si>
  <si>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</si>
  <si>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</si>
  <si>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</si>
  <si>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</si>
  <si>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</si>
  <si>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</si>
  <si>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</si>
  <si>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</si>
  <si>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</si>
  <si>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</si>
  <si>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</si>
  <si>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</si>
  <si>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</si>
  <si>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</si>
  <si>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</si>
  <si>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</si>
  <si>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</si>
  <si>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</si>
  <si>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</si>
  <si>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</si>
  <si>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</si>
  <si>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</si>
  <si>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</si>
  <si>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</si>
  <si>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</si>
  <si>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</si>
  <si>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</si>
  <si>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</si>
  <si>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</si>
  <si>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</si>
  <si>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</si>
  <si>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</si>
  <si>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</si>
  <si>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</si>
  <si>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</si>
  <si>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</si>
  <si>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</si>
  <si>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</si>
  <si>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</si>
  <si>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</si>
  <si>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</si>
  <si>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</si>
  <si>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</si>
  <si>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</si>
  <si>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</si>
  <si>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</si>
  <si>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</si>
  <si>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</si>
  <si>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</si>
  <si>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</si>
  <si>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</si>
  <si>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</si>
  <si>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</si>
  <si>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</si>
  <si>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</si>
  <si>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</si>
  <si>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</si>
  <si>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</si>
  <si>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</si>
  <si>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</si>
  <si>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</si>
  <si>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</si>
  <si>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</si>
  <si>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</si>
  <si>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</si>
  <si>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</si>
  <si>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</si>
  <si>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</si>
  <si>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</si>
  <si>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</si>
  <si>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</si>
  <si>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</si>
  <si>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</si>
  <si>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</si>
  <si>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</si>
  <si>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</si>
  <si>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</si>
  <si>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</si>
  <si>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</si>
  <si>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</si>
  <si>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</si>
  <si>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</si>
  <si>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</si>
  <si>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</si>
  <si>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</si>
  <si>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</si>
  <si>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</si>
  <si>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</si>
  <si>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</si>
  <si>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</si>
  <si>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</si>
  <si>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</si>
  <si>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</si>
  <si>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</si>
  <si>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</si>
  <si>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</si>
  <si>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</si>
  <si>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</si>
  <si>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</si>
  <si>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</si>
  <si>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</si>
  <si>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</si>
  <si>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</si>
  <si>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</si>
  <si>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</si>
  <si>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</si>
  <si>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</si>
  <si>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</si>
  <si>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</si>
  <si>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</si>
  <si>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</si>
  <si>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</si>
  <si>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</si>
  <si>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</si>
  <si>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</si>
  <si>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</si>
  <si>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</si>
  <si>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</si>
  <si>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</si>
  <si>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</si>
  <si>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</si>
  <si>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</si>
  <si>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</si>
  <si>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</si>
  <si>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</si>
  <si>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</si>
  <si>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</si>
  <si>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</si>
  <si>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</si>
  <si>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</si>
  <si>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</si>
  <si>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</si>
  <si>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</si>
  <si>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</si>
  <si>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</si>
  <si>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</si>
  <si>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</si>
  <si>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</si>
  <si>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</si>
  <si>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</si>
  <si>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</si>
  <si>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</si>
  <si>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</si>
  <si>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</si>
  <si>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</si>
  <si>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</si>
  <si>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</si>
  <si>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</si>
  <si>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</si>
  <si>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</si>
  <si>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</si>
  <si>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</si>
  <si>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</si>
  <si>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</si>
  <si>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</si>
  <si>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</si>
  <si>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</si>
  <si>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</si>
  <si>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</si>
  <si>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</si>
  <si>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</si>
  <si>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</si>
  <si>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</si>
  <si>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</si>
  <si>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</si>
  <si>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</si>
  <si>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</si>
  <si>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</si>
  <si>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</si>
  <si>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</si>
  <si>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</si>
  <si>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</si>
  <si>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</si>
  <si>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</si>
  <si>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</si>
  <si>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</si>
  <si>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</si>
  <si>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</si>
  <si>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</si>
  <si>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</si>
  <si>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</si>
  <si>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</si>
  <si>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</si>
  <si>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</si>
  <si>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</si>
  <si>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</si>
  <si>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</si>
  <si>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</si>
  <si>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</si>
  <si>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</si>
  <si>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</si>
  <si>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</si>
  <si>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</si>
  <si>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</si>
  <si>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</si>
  <si>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</si>
  <si>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</si>
  <si>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</si>
  <si>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</si>
  <si>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</si>
  <si>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</si>
  <si>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</si>
  <si>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</si>
  <si>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</si>
  <si>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</si>
  <si>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</si>
  <si>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</si>
  <si>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</si>
  <si>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</si>
  <si>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</si>
  <si>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</si>
  <si>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</si>
  <si>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</si>
  <si>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</si>
  <si>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</si>
  <si>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</si>
  <si>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</si>
  <si>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</si>
  <si>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</si>
  <si>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</si>
  <si>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</si>
  <si>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</si>
  <si>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</si>
  <si>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</si>
  <si>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</si>
  <si>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</si>
  <si>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</si>
  <si>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</si>
  <si>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</si>
  <si>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</si>
  <si>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</si>
  <si>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</si>
  <si>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</si>
  <si>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</si>
  <si>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</si>
  <si>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</si>
  <si>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</si>
  <si>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</si>
  <si>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</si>
  <si>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</si>
  <si>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</si>
  <si>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</si>
  <si>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</si>
  <si>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</si>
  <si>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</si>
  <si>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</si>
  <si>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</si>
  <si>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</si>
  <si>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</si>
  <si>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</si>
  <si>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</si>
  <si>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</si>
  <si>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</si>
  <si>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</si>
  <si>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</si>
  <si>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</si>
  <si>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</si>
  <si>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</si>
  <si>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</si>
  <si>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</si>
  <si>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</si>
  <si>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</si>
  <si>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</si>
  <si>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</si>
  <si>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</si>
  <si>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</si>
  <si>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</si>
  <si>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</si>
  <si>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</si>
  <si>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</si>
  <si>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</si>
  <si>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</si>
  <si>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</si>
  <si>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</si>
  <si>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</si>
  <si>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</si>
  <si>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</si>
  <si>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</si>
  <si>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</si>
  <si>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</si>
  <si>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</si>
  <si>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</si>
  <si>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</si>
  <si>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</si>
  <si>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</si>
  <si>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</si>
  <si>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</si>
  <si>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</si>
  <si>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</si>
  <si>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</si>
  <si>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</si>
  <si>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</si>
  <si>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</si>
  <si>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</si>
  <si>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</si>
  <si>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</si>
  <si>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</si>
  <si>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</si>
  <si>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</si>
  <si>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</si>
  <si>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</si>
  <si>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</si>
  <si>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</si>
  <si>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</si>
  <si>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</si>
  <si>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</si>
  <si>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</si>
  <si>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</si>
  <si>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</si>
  <si>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</si>
  <si>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</si>
  <si>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</si>
  <si>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</si>
  <si>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</si>
  <si>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</si>
  <si>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</si>
  <si>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</si>
  <si>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</si>
  <si>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</si>
  <si>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</si>
  <si>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</si>
  <si>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</si>
  <si>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</si>
  <si>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</si>
  <si>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</si>
  <si>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</si>
  <si>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</si>
  <si>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</si>
  <si>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</si>
  <si>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</si>
  <si>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</si>
  <si>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</si>
  <si>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</si>
  <si>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</si>
  <si>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</si>
  <si>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</si>
  <si>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</si>
  <si>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</si>
  <si>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</si>
  <si>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</si>
  <si>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</si>
  <si>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</si>
  <si>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</si>
  <si>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</si>
  <si>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</si>
  <si>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</si>
  <si>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</si>
  <si>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</si>
  <si>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</si>
  <si>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</si>
  <si>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</si>
  <si>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</si>
  <si>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</si>
  <si>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</si>
  <si>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</si>
  <si>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</si>
  <si>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</si>
  <si>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</si>
  <si>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</si>
  <si>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</si>
  <si>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</si>
  <si>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</si>
  <si>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</si>
  <si>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</si>
  <si>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</si>
  <si>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</si>
  <si>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</si>
  <si>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</si>
  <si>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</si>
  <si>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</si>
  <si>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</si>
  <si>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</si>
  <si>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</si>
  <si>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</si>
  <si>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</si>
  <si>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</si>
  <si>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</si>
  <si>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</si>
  <si>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</si>
  <si>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</si>
  <si>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</si>
  <si>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</si>
  <si>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</si>
  <si>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</si>
  <si>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</si>
  <si>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</si>
  <si>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</si>
  <si>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</si>
  <si>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</si>
  <si>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</si>
  <si>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</si>
  <si>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</si>
  <si>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</si>
  <si>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</si>
  <si>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</si>
  <si>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</si>
  <si>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</si>
  <si>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</si>
  <si>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</si>
  <si>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</si>
  <si>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</si>
  <si>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</si>
  <si>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</si>
  <si>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</si>
  <si>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</si>
  <si>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</si>
  <si>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</si>
  <si>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</si>
  <si>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</si>
  <si>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</si>
  <si>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</si>
  <si>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</si>
  <si>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</si>
  <si>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</si>
  <si>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</si>
  <si>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</si>
  <si>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</si>
  <si>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</si>
  <si>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</si>
  <si>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</si>
  <si>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</si>
  <si>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</si>
  <si>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</si>
  <si>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</si>
  <si>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</si>
  <si>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</si>
  <si>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</si>
  <si>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</si>
  <si>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</si>
  <si>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</si>
  <si>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</si>
  <si>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</si>
  <si>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</si>
  <si>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</si>
  <si>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</si>
  <si>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</si>
  <si>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</si>
  <si>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</si>
  <si>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</si>
  <si>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</si>
  <si>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</si>
  <si>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</si>
  <si>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</si>
  <si>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</si>
  <si>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</si>
  <si>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</si>
  <si>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</si>
  <si>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</si>
  <si>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</si>
  <si>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</si>
  <si>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</si>
  <si>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</si>
  <si>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</si>
  <si>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</si>
  <si>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</si>
  <si>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</si>
  <si>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</si>
  <si>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</si>
  <si>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</si>
  <si>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</si>
  <si>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</si>
  <si>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</si>
  <si>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</si>
  <si>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</si>
  <si>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</si>
  <si>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</si>
  <si>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</si>
  <si>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</si>
  <si>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</si>
  <si>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</si>
  <si>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</si>
  <si>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</si>
  <si>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</si>
  <si>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</si>
  <si>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</si>
  <si>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</si>
  <si>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</si>
  <si>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</si>
  <si>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</si>
  <si>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</si>
  <si>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</si>
  <si>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</si>
  <si>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</si>
  <si>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</si>
  <si>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</si>
  <si>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</si>
  <si>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</si>
  <si>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</si>
  <si>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</si>
  <si>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</si>
  <si>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</si>
  <si>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</si>
  <si>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</si>
  <si>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</si>
  <si>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</si>
  <si>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</si>
  <si>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</si>
  <si>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</si>
  <si>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</si>
  <si>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</si>
  <si>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</si>
  <si>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</si>
  <si>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</si>
  <si>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</si>
  <si>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</si>
  <si>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</si>
  <si>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</si>
  <si>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</si>
  <si>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</si>
  <si>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</si>
  <si>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</si>
  <si>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</si>
  <si>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</si>
  <si>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</si>
  <si>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</si>
  <si>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</si>
  <si>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</si>
  <si>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</si>
  <si>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</si>
  <si>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</si>
  <si>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</si>
  <si>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</si>
  <si>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</si>
  <si>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</si>
  <si>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</si>
  <si>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</si>
  <si>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</si>
  <si>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</si>
  <si>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</si>
  <si>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</si>
  <si>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</si>
  <si>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</si>
  <si>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</si>
  <si>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</si>
  <si>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</si>
  <si>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</si>
  <si>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</si>
  <si>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</si>
  <si>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</si>
  <si>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</si>
  <si>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</si>
  <si>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</si>
  <si>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</si>
  <si>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</si>
  <si>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</si>
  <si>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</si>
  <si>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</si>
  <si>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</si>
  <si>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</si>
  <si>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</si>
  <si>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</si>
  <si>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</si>
  <si>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</si>
  <si>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</si>
  <si>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</si>
  <si>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</si>
  <si>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</si>
  <si>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</si>
  <si>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</si>
  <si>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</si>
  <si>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</si>
  <si>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</si>
  <si>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</si>
  <si>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</si>
  <si>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</si>
  <si>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</si>
  <si>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</si>
  <si>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</si>
  <si>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</si>
  <si>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</si>
  <si>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</si>
  <si>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</si>
  <si>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</si>
  <si>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</si>
  <si>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</si>
  <si>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</si>
  <si>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</si>
  <si>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</si>
  <si>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</si>
  <si>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</si>
  <si>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</si>
  <si>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</si>
  <si>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</si>
  <si>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</si>
  <si>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</si>
  <si>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</si>
  <si>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</si>
  <si>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</si>
  <si>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</si>
  <si>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</si>
  <si>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</si>
  <si>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</si>
  <si>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</si>
  <si>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</si>
  <si>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</si>
  <si>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</si>
  <si>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</si>
  <si>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</si>
  <si>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</si>
  <si>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</si>
  <si>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</si>
  <si>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</si>
  <si>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</si>
  <si>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</si>
  <si>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</si>
  <si>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</si>
  <si>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</si>
  <si>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</si>
  <si>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</si>
  <si>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</si>
  <si>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</si>
  <si>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</si>
  <si>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</si>
  <si>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</si>
  <si>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</si>
  <si>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</si>
  <si>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</si>
  <si>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</si>
  <si>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</si>
  <si>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</si>
  <si>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</si>
  <si>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</si>
  <si>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</si>
  <si>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</si>
  <si>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</si>
  <si>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</si>
  <si>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</si>
  <si>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</si>
  <si>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</si>
  <si>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</si>
  <si>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</si>
  <si>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</si>
  <si>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</si>
  <si>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</si>
  <si>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</si>
  <si>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</si>
  <si>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</si>
  <si>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</si>
  <si>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</si>
  <si>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</si>
  <si>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</si>
  <si>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</si>
  <si>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</si>
  <si>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</si>
  <si>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</si>
  <si>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</si>
  <si>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</si>
  <si>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</si>
  <si>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</si>
  <si>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</si>
  <si>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</si>
  <si>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</si>
  <si>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</si>
  <si>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</si>
  <si>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</si>
  <si>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</si>
  <si>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</si>
  <si>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</si>
  <si>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</si>
  <si>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</si>
  <si>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</si>
  <si>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</si>
  <si>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</si>
  <si>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</si>
  <si>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</si>
  <si>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</si>
  <si>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</si>
  <si>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</si>
  <si>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</si>
  <si>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</si>
  <si>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</si>
  <si>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</si>
  <si>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</si>
  <si>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</si>
  <si>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</si>
  <si>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</si>
  <si>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</si>
  <si>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</si>
  <si>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</si>
  <si>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</si>
  <si>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</si>
  <si>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</si>
  <si>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</si>
  <si>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</si>
  <si>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</si>
  <si>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</si>
  <si>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</si>
  <si>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</si>
  <si>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</si>
  <si>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</si>
  <si>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</si>
  <si>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</si>
  <si>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</si>
  <si>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</si>
  <si>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</si>
  <si>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</si>
  <si>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</si>
  <si>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</si>
  <si>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</si>
  <si>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</si>
  <si>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</si>
  <si>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</si>
  <si>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</si>
  <si>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</si>
  <si>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</si>
  <si>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</si>
  <si>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</si>
  <si>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</si>
  <si>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</si>
  <si>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</si>
  <si>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</si>
  <si>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</si>
  <si>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</si>
  <si>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</si>
  <si>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</si>
  <si>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</si>
  <si>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</si>
  <si>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</si>
  <si>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</si>
  <si>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</si>
  <si>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</si>
  <si>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</si>
  <si>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</si>
  <si>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</si>
  <si>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</si>
  <si>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</si>
  <si>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</si>
  <si>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</si>
  <si>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</si>
  <si>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</si>
  <si>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</si>
  <si>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</si>
  <si>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</si>
  <si>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</si>
  <si>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</si>
  <si>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</si>
  <si>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</si>
  <si>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</si>
  <si>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</si>
  <si>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</si>
  <si>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</si>
  <si>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</si>
  <si>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</si>
  <si>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</si>
  <si>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</si>
  <si>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</si>
  <si>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</si>
  <si>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</si>
  <si>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</si>
  <si>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</si>
  <si>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</si>
  <si>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</si>
  <si>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</si>
  <si>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</si>
  <si>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</si>
  <si>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</si>
  <si>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</si>
  <si>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</si>
  <si>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</si>
  <si>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</si>
  <si>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</si>
  <si>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</si>
  <si>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</si>
  <si>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</si>
  <si>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</si>
  <si>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</si>
  <si>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</si>
  <si>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</si>
  <si>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</si>
  <si>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</si>
  <si>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</si>
  <si>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</si>
  <si>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</si>
  <si>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</si>
  <si>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</si>
  <si>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</si>
  <si>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</si>
  <si>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</si>
  <si>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</si>
  <si>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</si>
  <si>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</si>
  <si>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</si>
  <si>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</si>
  <si>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</si>
  <si>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</si>
  <si>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</si>
  <si>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</si>
  <si>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</si>
  <si>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</si>
  <si>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</si>
  <si>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</si>
  <si>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</si>
  <si>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</si>
  <si>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</si>
  <si>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</si>
  <si>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</si>
  <si>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</si>
  <si>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</si>
  <si>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</si>
  <si>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</si>
  <si>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</si>
  <si>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</si>
  <si>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</si>
  <si>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</si>
  <si>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</si>
  <si>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</si>
  <si>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</si>
  <si>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</si>
  <si>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</si>
  <si>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</si>
  <si>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</si>
  <si>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</si>
  <si>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</si>
  <si>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</si>
  <si>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</si>
  <si>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</si>
  <si>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</si>
  <si>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</si>
  <si>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</si>
  <si>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</si>
  <si>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</si>
  <si>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</si>
  <si>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</si>
  <si>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</si>
  <si>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</si>
  <si>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</si>
  <si>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</si>
  <si>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</si>
  <si>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</si>
  <si>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</si>
  <si>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</si>
  <si>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</si>
  <si>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</si>
  <si>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</si>
  <si>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</si>
  <si>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</si>
  <si>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</si>
  <si>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</si>
  <si>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</si>
  <si>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</si>
  <si>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</si>
  <si>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</si>
  <si>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</si>
  <si>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</si>
  <si>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</si>
  <si>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</si>
  <si>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</si>
  <si>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</si>
  <si>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</si>
  <si>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</si>
  <si>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</si>
  <si>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</si>
  <si>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</si>
  <si>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</si>
  <si>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</si>
  <si>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</si>
  <si>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</si>
  <si>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</si>
  <si>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</si>
  <si>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</si>
  <si>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</si>
  <si>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</si>
  <si>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</si>
  <si>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</si>
  <si>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</si>
  <si>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</si>
  <si>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</si>
  <si>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</si>
  <si>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</si>
  <si>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</si>
  <si>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</si>
  <si>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</si>
  <si>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</si>
  <si>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</si>
  <si>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</si>
  <si>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</si>
  <si>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</si>
  <si>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</si>
  <si>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</si>
  <si>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</si>
  <si>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</si>
  <si>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</si>
  <si>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</si>
  <si>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</si>
  <si>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</si>
  <si>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</si>
  <si>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</si>
  <si>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</si>
  <si>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</si>
  <si>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</si>
  <si>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</si>
  <si>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</si>
  <si>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</si>
  <si>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</si>
  <si>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</si>
  <si>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</si>
  <si>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</si>
  <si>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</si>
  <si>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</si>
  <si>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</si>
  <si>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</si>
  <si>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</si>
  <si>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</si>
  <si>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</si>
  <si>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</si>
  <si>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</si>
  <si>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</si>
  <si>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</si>
  <si>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</si>
  <si>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</si>
  <si>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</si>
  <si>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</si>
  <si>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</si>
  <si>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</si>
  <si>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</si>
  <si>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</si>
  <si>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</si>
  <si>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</si>
  <si>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</si>
  <si>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</si>
  <si>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</si>
  <si>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</si>
  <si>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</si>
  <si>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</si>
  <si>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</si>
  <si>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</si>
  <si>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</si>
  <si>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</si>
  <si>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</si>
  <si>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</si>
  <si>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</si>
  <si>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</si>
  <si>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</si>
  <si>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</si>
  <si>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</si>
  <si>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</si>
  <si>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</si>
  <si>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</si>
  <si>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</si>
  <si>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</si>
  <si>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</si>
  <si>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</si>
  <si>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</si>
  <si>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</si>
  <si>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</si>
  <si>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</si>
  <si>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</si>
  <si>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</si>
  <si>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</si>
  <si>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</si>
  <si>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</si>
  <si>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</si>
  <si>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</si>
  <si>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</si>
  <si>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</si>
  <si>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</si>
  <si>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</si>
  <si>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</si>
  <si>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</si>
  <si>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</si>
  <si>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</si>
  <si>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</si>
  <si>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</si>
  <si>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</si>
  <si>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</si>
  <si>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</si>
  <si>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</si>
  <si>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</si>
  <si>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</si>
  <si>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</si>
  <si>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</si>
  <si>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</si>
  <si>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</si>
  <si>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</si>
  <si>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</si>
  <si>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</si>
  <si>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</si>
  <si>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</si>
  <si>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</si>
  <si>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</si>
  <si>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</si>
  <si>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</si>
  <si>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</si>
  <si>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</si>
  <si>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</si>
  <si>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</si>
  <si>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</si>
  <si>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</si>
  <si>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</si>
  <si>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</si>
  <si>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</si>
  <si>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</si>
  <si>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</si>
  <si>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</si>
  <si>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</si>
  <si>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</si>
  <si>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</si>
  <si>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</si>
  <si>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</si>
  <si>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</si>
  <si>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</si>
  <si>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</si>
  <si>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</si>
  <si>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</si>
  <si>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</si>
  <si>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</si>
  <si>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</si>
  <si>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</si>
  <si>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</si>
  <si>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</si>
  <si>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</si>
  <si>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</si>
  <si>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</si>
  <si>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</si>
  <si>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</si>
  <si>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</si>
  <si>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</si>
  <si>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</si>
  <si>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</si>
  <si>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</si>
  <si>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</si>
  <si>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</si>
  <si>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</si>
  <si>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</si>
  <si>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</si>
  <si>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</si>
  <si>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</si>
  <si>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</si>
  <si>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</si>
  <si>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</si>
  <si>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</si>
  <si>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</si>
  <si>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</si>
  <si>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</si>
  <si>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</si>
  <si>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</si>
  <si>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</si>
  <si>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</si>
  <si>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</si>
  <si>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</si>
  <si>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</si>
  <si>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</si>
  <si>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</si>
  <si>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</si>
  <si>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</si>
  <si>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</si>
  <si>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</si>
  <si>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</si>
  <si>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</si>
  <si>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</si>
  <si>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</si>
  <si>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</si>
  <si>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</si>
  <si>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</si>
  <si>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</si>
  <si>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</si>
  <si>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</si>
  <si>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</si>
  <si>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</si>
  <si>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</si>
  <si>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</si>
  <si>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</si>
  <si>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</si>
  <si>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</si>
  <si>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</si>
  <si>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</si>
  <si>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</si>
  <si>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</si>
  <si>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</si>
  <si>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</si>
  <si>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</si>
  <si>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</si>
  <si>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</si>
  <si>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</si>
  <si>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</si>
  <si>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</si>
  <si>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</si>
  <si>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</si>
  <si>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</si>
  <si>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</si>
  <si>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</si>
  <si>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</si>
  <si>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</si>
  <si>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</si>
  <si>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</si>
  <si>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</si>
  <si>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</si>
  <si>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</si>
  <si>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</si>
  <si>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</si>
  <si>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</si>
  <si>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</si>
  <si>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</si>
  <si>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</si>
  <si>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</si>
  <si>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</si>
  <si>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</si>
  <si>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</si>
  <si>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</si>
  <si>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</si>
  <si>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</si>
  <si>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</si>
  <si>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</si>
  <si>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</si>
  <si>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</si>
  <si>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</si>
  <si>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</si>
  <si>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</si>
  <si>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</si>
  <si>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</si>
  <si>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</si>
  <si>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</si>
  <si>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</si>
  <si>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</si>
  <si>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</si>
  <si>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</si>
  <si>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</si>
  <si>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</si>
  <si>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</si>
  <si>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</si>
  <si>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</si>
  <si>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</si>
  <si>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</si>
  <si>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</si>
  <si>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</si>
  <si>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</si>
  <si>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</si>
  <si>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</si>
  <si>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</si>
  <si>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</si>
  <si>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</si>
  <si>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</si>
  <si>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</si>
  <si>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</si>
  <si>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</si>
  <si>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</si>
  <si>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</si>
  <si>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</si>
  <si>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</si>
  <si>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</si>
  <si>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</si>
  <si>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</si>
  <si>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</si>
  <si>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</si>
  <si>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</si>
  <si>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</si>
  <si>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</si>
  <si>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</si>
  <si>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</si>
  <si>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</si>
  <si>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</si>
  <si>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</si>
  <si>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</si>
  <si>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</si>
  <si>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</si>
  <si>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</si>
  <si>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</si>
  <si>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</si>
  <si>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</si>
  <si>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</si>
  <si>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</si>
  <si>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</si>
  <si>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</si>
  <si>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</si>
  <si>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</si>
  <si>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</si>
  <si>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</si>
  <si>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</si>
  <si>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</si>
  <si>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</si>
  <si>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</si>
  <si>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</si>
  <si>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</si>
  <si>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</si>
  <si>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</si>
  <si>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</si>
  <si>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</si>
  <si>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</si>
  <si>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</si>
  <si>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</si>
  <si>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</si>
  <si>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</si>
  <si>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</si>
  <si>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</si>
  <si>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</si>
  <si>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</si>
  <si>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</si>
  <si>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</si>
  <si>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</si>
  <si>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</si>
  <si>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</si>
  <si>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</si>
  <si>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</si>
  <si>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</si>
  <si>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</si>
  <si>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</si>
  <si>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</si>
  <si>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</si>
  <si>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</si>
  <si>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</si>
  <si>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</si>
  <si>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</si>
  <si>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</si>
  <si>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</si>
  <si>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</si>
  <si>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</si>
  <si>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</si>
  <si>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</si>
  <si>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</si>
  <si>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</si>
  <si>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</si>
  <si>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</si>
  <si>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</si>
  <si>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</si>
  <si>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</si>
  <si>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</si>
  <si>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</si>
  <si>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</si>
  <si>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</si>
  <si>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</si>
  <si>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</si>
  <si>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</si>
  <si>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</si>
  <si>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</si>
  <si>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</si>
  <si>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</si>
  <si>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</si>
  <si>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</si>
  <si>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</si>
  <si>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</si>
  <si>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</si>
  <si>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</si>
  <si>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</si>
  <si>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</si>
  <si>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</si>
  <si>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</si>
  <si>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</si>
  <si>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</si>
  <si>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</si>
  <si>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</si>
  <si>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</si>
  <si>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</si>
  <si>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</si>
  <si>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</si>
  <si>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</si>
  <si>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</si>
  <si>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</si>
  <si>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</si>
  <si>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</si>
  <si>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</si>
  <si>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</si>
  <si>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</si>
  <si>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</si>
  <si>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</si>
  <si>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</si>
  <si>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</si>
  <si>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</si>
  <si>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</si>
  <si>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</si>
  <si>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</si>
  <si>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</si>
  <si>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</si>
  <si>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</si>
  <si>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</si>
  <si>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</si>
  <si>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</si>
  <si>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</si>
  <si>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</si>
  <si>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</si>
  <si>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</si>
  <si>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</si>
  <si>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</si>
  <si>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</si>
  <si>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</si>
  <si>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</si>
  <si>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</si>
  <si>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</si>
  <si>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</si>
  <si>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</si>
  <si>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</si>
  <si>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</si>
  <si>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</si>
  <si>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</si>
  <si>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</si>
  <si>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</si>
  <si>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</si>
  <si>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</si>
  <si>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</si>
  <si>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</si>
  <si>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</si>
  <si>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</si>
  <si>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</si>
  <si>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</si>
  <si>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</si>
  <si>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</si>
  <si>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</si>
  <si>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</si>
  <si>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</si>
  <si>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</si>
  <si>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</si>
  <si>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</si>
  <si>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</si>
  <si>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</si>
  <si>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</si>
  <si>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</si>
  <si>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</si>
  <si>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</si>
  <si>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</si>
  <si>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</si>
  <si>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</si>
  <si>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</si>
  <si>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</si>
  <si>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</si>
  <si>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</si>
  <si>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</si>
  <si>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</si>
  <si>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</si>
  <si>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</si>
  <si>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Sum of Profit</t>
  </si>
  <si>
    <t>Row Labels</t>
  </si>
  <si>
    <t>Sum of Revenue</t>
  </si>
  <si>
    <t xml:space="preserve">Product line </t>
  </si>
  <si>
    <t xml:space="preserve">paymemnt method 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</si>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</sst>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i/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3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[Excel+Report+1+Data.xlsx]Pivot_PaymentMethod!PivotTable1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none"/>
              <a:t>Total</a:t>
            </a:r>
            <a:r>
              <a:rPr lang="en-US" b="1" i="1" u="none" baseline="0"/>
              <a:t> Profit By Payment Merhod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Pivot_PaymentMethod!$A$4:$A$8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Pivot_PaymentMethod!$B$4:$B$8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C-4F6A-939E-50B0344EA5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0715032"/>
        <c:axId val="390721512"/>
      </c:barChart>
      <c:catAx>
        <c:axId val="390715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21512"/>
        <c:crosses val="autoZero"/>
        <c:auto val="1"/>
        <c:lblAlgn val="ctr"/>
        <c:lblOffset val="100"/>
        <c:noMultiLvlLbl val="0"/>
      </c:catAx>
      <c:valAx>
        <c:axId val="390721512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39071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[Excel+Report+1+Data.xlsx]Pivot_ProductLine!PivotTable2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Pivot_ProductLine!$B$3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Pivot_ProductLine!$A$4:$A$9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Pivot_ProductLine!$B$4:$B$9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8-44E6-81AC-DAAC2CCE85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0166088"/>
        <c:axId val="390171488"/>
      </c:barChart>
      <c:catAx>
        <c:axId val="390166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71488"/>
        <c:crosses val="autoZero"/>
        <c:auto val="1"/>
        <c:lblAlgn val="ctr"/>
        <c:lblOffset val="100"/>
        <c:noMultiLvlLbl val="0"/>
      </c:catAx>
      <c:valAx>
        <c:axId val="390171488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39016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[Excel+Report+1+Data.xlsx]Pivot_Department!PivotTable3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Total</a:t>
            </a:r>
            <a:r>
              <a:rPr lang="en-US" b="1" i="1" baseline="0"/>
              <a:t> Revenue/Expenses/Profit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Pivot_Department!$B$3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Pivot_Department!$A$4:$A$9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Pivot_Department!$B$4:$B$9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32-4556-BE21-08498204FA43}"/>
            </c:ext>
          </c:extLst>
        </c:ser>
        <c:ser>
          <c:idx val="1"/>
          <c:order val="1"/>
          <c:tx>
            <c:strRef>
              <c:f>Pivot_Department!$C$3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Pivot_Department!$A$4:$A$9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Pivot_Department!$C$4:$C$9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32-4556-BE21-08498204FA43}"/>
            </c:ext>
          </c:extLst>
        </c:ser>
        <c:ser>
          <c:idx val="2"/>
          <c:order val="2"/>
          <c:tx>
            <c:strRef>
              <c:f>Pivot_Department!$D$3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Pivot_Department!$A$4:$A$9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Pivot_Department!$D$4:$D$9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32-4556-BE21-08498204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738432"/>
        <c:axId val="390739152"/>
      </c:barChart>
      <c:catAx>
        <c:axId val="39073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39152"/>
        <c:crosses val="autoZero"/>
        <c:auto val="1"/>
        <c:lblAlgn val="ctr"/>
        <c:lblOffset val="100"/>
        <c:noMultiLvlLbl val="0"/>
      </c:catAx>
      <c:valAx>
        <c:axId val="390739152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[Excel+Report+1+Data.xlsx]Pivot_Region!PivotTable4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baseline="0"/>
              <a:t>Number of Transaction_ID by Region 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222222222222222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444444444444489E-2"/>
              <c:y val="-0.31944444444444442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29E-2"/>
              <c:y val="-0.4027777777777777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555555555555556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2685185185185186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0"/>
                    <a:shade val="30000"/>
                    <a:satMod val="115000"/>
                  </a:schemeClr>
                </a:gs>
                <a:gs pos="50000">
                  <a:schemeClr val="accent1">
                    <a:lumMod val="50000"/>
                    <a:shade val="67500"/>
                    <a:satMod val="115000"/>
                  </a:schemeClr>
                </a:gs>
                <a:gs pos="100000">
                  <a:schemeClr val="accent1">
                    <a:lumMod val="50000"/>
                    <a:shade val="100000"/>
                    <a:satMod val="115000"/>
                  </a:schemeClr>
                </a:gs>
              </a:gsLst>
              <a:lin ang="81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E006-4109-BA12-B2BA98781DD0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E006-4109-BA12-B2BA98781DD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E006-4109-BA12-B2BA98781DD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E006-4109-BA12-B2BA98781DD0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E006-4109-BA12-B2BA98781DD0}"/>
              </c:ext>
            </c:extLst>
          </c:dPt>
          <c:dLbls>
            <c:dLbl>
              <c:idx val="0"/>
              <c:layout>
                <c:manualLayout>
                  <c:x val="0.12222222222222222"/>
                  <c:y val="-0.416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06-4109-BA12-B2BA98781DD0}"/>
                </c:ext>
              </c:extLst>
            </c:dLbl>
            <c:dLbl>
              <c:idx val="1"/>
              <c:layout>
                <c:manualLayout>
                  <c:x val="6.9444444444444489E-2"/>
                  <c:y val="-0.3194444444444444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06-4109-BA12-B2BA98781DD0}"/>
                </c:ext>
              </c:extLst>
            </c:dLbl>
            <c:dLbl>
              <c:idx val="2"/>
              <c:layout>
                <c:manualLayout>
                  <c:x val="8.3333333333333329E-2"/>
                  <c:y val="-0.402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06-4109-BA12-B2BA98781DD0}"/>
                </c:ext>
              </c:extLst>
            </c:dLbl>
            <c:dLbl>
              <c:idx val="3"/>
              <c:layout>
                <c:manualLayout>
                  <c:x val="0.10555555555555556"/>
                  <c:y val="-0.416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06-4109-BA12-B2BA98781DD0}"/>
                </c:ext>
              </c:extLst>
            </c:dLbl>
            <c:dLbl>
              <c:idx val="4"/>
              <c:layout>
                <c:manualLayout>
                  <c:x val="-8.3333333333333332E-3"/>
                  <c:y val="-0.2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06-4109-BA12-B2BA98781DD0}"/>
                </c:ext>
              </c:extLst>
            </c:dLbl>
            <c:spPr>
              <a:solidFill>
                <a:srgbClr val="5B9BD5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Pivot_Region!$A$4:$A$9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Pivot_Region!$B$4:$B$9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6-4109-BA12-B2BA98781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40232"/>
        <c:axId val="390740592"/>
      </c:areaChart>
      <c:catAx>
        <c:axId val="390740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40592"/>
        <c:crosses val="autoZero"/>
        <c:auto val="1"/>
        <c:lblAlgn val="ctr"/>
        <c:lblOffset val="100"/>
        <c:noMultiLvlLbl val="0"/>
      </c:catAx>
      <c:valAx>
        <c:axId val="390740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074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[Excel+Report+1+Data.xlsx]Pivot_AvgExpense!PivotTable5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</a:t>
            </a:r>
            <a:r>
              <a:rPr lang="en-US" b="1" i="1" baseline="0"/>
              <a:t> Expense for Each Category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Pivot_AvgExpense!$B$3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5EB-4929-8F2B-1A5A9F90C120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EB-4929-8F2B-1A5A9F90C120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5EB-4929-8F2B-1A5A9F90C120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EB-4929-8F2B-1A5A9F90C120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5EB-4929-8F2B-1A5A9F90C120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EB-4929-8F2B-1A5A9F90C120}"/>
              </c:ext>
            </c:extLst>
          </c:dPt>
          <c:dLbls>
            <c:spPr>
              <a:solidFill>
                <a:srgbClr val="4472C4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Pivot_AvgExpense!$A$4:$A$10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Pivot_AvgExpense!$B$4:$B$10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B-4929-8F2B-1A5A9F90C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[Excel+Report+1+Data.xlsx]Pivot_PaymentMethod!PivotTable1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none"/>
              <a:t>Total</a:t>
            </a:r>
            <a:r>
              <a:rPr lang="en-US" b="1" i="1" u="none" baseline="0"/>
              <a:t> Profit By Payment Merhod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Pivot_PaymentMethod!$B$3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Pivot_PaymentMethod!$A$4:$A$8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Pivot_PaymentMethod!$B$4:$B$8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D9-42AC-84D9-19D5266BA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0715032"/>
        <c:axId val="390721512"/>
      </c:barChart>
      <c:catAx>
        <c:axId val="390715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21512"/>
        <c:crosses val="autoZero"/>
        <c:auto val="1"/>
        <c:lblAlgn val="ctr"/>
        <c:lblOffset val="100"/>
        <c:noMultiLvlLbl val="0"/>
      </c:catAx>
      <c:valAx>
        <c:axId val="390721512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39071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[Excel+Report+1+Data.xlsx]Pivot_ProductLine!PivotTable2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>
                <a:solidFill>
                  <a:sysClr val="windowText" lastClr="000000"/>
                </a:solidFill>
              </a:rPr>
              <a:t>Total Revenue By Product Line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Pivot_ProductLine!$B$3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Pivot_ProductLine!$A$4:$A$9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Pivot_ProductLine!$B$4:$B$9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4E-44E3-A42B-5E247078BF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0166088"/>
        <c:axId val="390171488"/>
      </c:barChart>
      <c:catAx>
        <c:axId val="3901660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71488"/>
        <c:crosses val="autoZero"/>
        <c:auto val="1"/>
        <c:lblAlgn val="ctr"/>
        <c:lblOffset val="100"/>
        <c:noMultiLvlLbl val="0"/>
      </c:catAx>
      <c:valAx>
        <c:axId val="390171488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390166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[Excel+Report+1+Data.xlsx]Pivot_Department!PivotTable3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Total</a:t>
            </a:r>
            <a:r>
              <a:rPr lang="en-US" b="1" i="1" baseline="0"/>
              <a:t> Revenue/Expenses/Profit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Pivot_Department!$B$3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Pivot_Department!$A$4:$A$9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Pivot_Department!$B$4:$B$9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3-4E29-B29C-08D33D386E95}"/>
            </c:ext>
          </c:extLst>
        </c:ser>
        <c:ser>
          <c:idx val="1"/>
          <c:order val="1"/>
          <c:tx>
            <c:strRef>
              <c:f>Pivot_Department!$C$3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Pivot_Department!$A$4:$A$9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Pivot_Department!$C$4:$C$9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53-4E29-B29C-08D33D386E95}"/>
            </c:ext>
          </c:extLst>
        </c:ser>
        <c:ser>
          <c:idx val="2"/>
          <c:order val="2"/>
          <c:tx>
            <c:strRef>
              <c:f>Pivot_Department!$D$3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Pivot_Department!$A$4:$A$9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Pivot_Department!$D$4:$D$9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53-4E29-B29C-08D33D386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0738432"/>
        <c:axId val="390739152"/>
      </c:barChart>
      <c:catAx>
        <c:axId val="390738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39152"/>
        <c:crosses val="autoZero"/>
        <c:auto val="1"/>
        <c:lblAlgn val="ctr"/>
        <c:lblOffset val="100"/>
        <c:noMultiLvlLbl val="0"/>
      </c:catAx>
      <c:valAx>
        <c:axId val="390739152"/>
        <c:scaling>
          <c:orientation val="minMax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3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[Excel+Report+1+Data.xlsx]Pivot_Region!PivotTable4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baseline="0"/>
              <a:t>Number of Transaction_ID by Region 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222222222222222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444444444444489E-2"/>
              <c:y val="-0.31944444444444442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29E-2"/>
              <c:y val="-0.4027777777777777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555555555555556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2685185185185186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222222222222222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444444444444489E-2"/>
              <c:y val="-0.31944444444444442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29E-2"/>
              <c:y val="-0.4027777777777777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555555555555556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2685185185185186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2222222222222222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6.9444444444444489E-2"/>
              <c:y val="-0.31944444444444442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29E-2"/>
              <c:y val="-0.4027777777777777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0555555555555556"/>
              <c:y val="-0.41666666666666669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lumMod val="50000"/>
                  <a:shade val="30000"/>
                  <a:satMod val="115000"/>
                </a:schemeClr>
              </a:gs>
              <a:gs pos="50000">
                <a:schemeClr val="accent1">
                  <a:lumMod val="50000"/>
                  <a:shade val="67500"/>
                  <a:satMod val="115000"/>
                </a:schemeClr>
              </a:gs>
              <a:gs pos="100000">
                <a:schemeClr val="accent1">
                  <a:lumMod val="50000"/>
                  <a:shade val="100000"/>
                  <a:satMod val="115000"/>
                </a:schemeClr>
              </a:gs>
            </a:gsLst>
            <a:lin ang="81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8.3333333333333332E-3"/>
              <c:y val="-0.22685185185185186"/>
            </c:manualLayout>
          </c:layout>
          <c:spPr>
            <a:solidFill>
              <a:srgbClr val="5B9BD5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Pivot_Region!$B$3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50000"/>
                    <a:shade val="30000"/>
                    <a:satMod val="115000"/>
                  </a:schemeClr>
                </a:gs>
                <a:gs pos="50000">
                  <a:schemeClr val="accent1">
                    <a:lumMod val="50000"/>
                    <a:shade val="67500"/>
                    <a:satMod val="115000"/>
                  </a:schemeClr>
                </a:gs>
                <a:gs pos="100000">
                  <a:schemeClr val="accent1">
                    <a:lumMod val="50000"/>
                    <a:shade val="100000"/>
                    <a:satMod val="115000"/>
                  </a:schemeClr>
                </a:gs>
              </a:gsLst>
              <a:lin ang="81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682-429E-8DD8-CE0E2C34522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682-429E-8DD8-CE0E2C34522A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6682-429E-8DD8-CE0E2C34522A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682-429E-8DD8-CE0E2C34522A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6682-429E-8DD8-CE0E2C34522A}"/>
              </c:ext>
            </c:extLst>
          </c:dPt>
          <c:dLbls>
            <c:dLbl>
              <c:idx val="0"/>
              <c:layout>
                <c:manualLayout>
                  <c:x val="0.12222222222222222"/>
                  <c:y val="-0.416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682-429E-8DD8-CE0E2C34522A}"/>
                </c:ext>
              </c:extLst>
            </c:dLbl>
            <c:dLbl>
              <c:idx val="1"/>
              <c:layout>
                <c:manualLayout>
                  <c:x val="6.9444444444444489E-2"/>
                  <c:y val="-0.3194444444444444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82-429E-8DD8-CE0E2C34522A}"/>
                </c:ext>
              </c:extLst>
            </c:dLbl>
            <c:dLbl>
              <c:idx val="2"/>
              <c:layout>
                <c:manualLayout>
                  <c:x val="8.3333333333333329E-2"/>
                  <c:y val="-0.4027777777777777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682-429E-8DD8-CE0E2C34522A}"/>
                </c:ext>
              </c:extLst>
            </c:dLbl>
            <c:dLbl>
              <c:idx val="3"/>
              <c:layout>
                <c:manualLayout>
                  <c:x val="0.10555555555555556"/>
                  <c:y val="-0.41666666666666669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82-429E-8DD8-CE0E2C34522A}"/>
                </c:ext>
              </c:extLst>
            </c:dLbl>
            <c:dLbl>
              <c:idx val="4"/>
              <c:layout>
                <c:manualLayout>
                  <c:x val="-8.3333333333333332E-3"/>
                  <c:y val="-0.2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682-429E-8DD8-CE0E2C34522A}"/>
                </c:ext>
              </c:extLst>
            </c:dLbl>
            <c:spPr>
              <a:solidFill>
                <a:srgbClr val="5B9BD5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Pivot_Region!$A$4:$A$9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Pivot_Region!$B$4:$B$9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82-429E-8DD8-CE0E2C345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40232"/>
        <c:axId val="390740592"/>
      </c:areaChart>
      <c:catAx>
        <c:axId val="390740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40592"/>
        <c:crosses val="autoZero"/>
        <c:auto val="1"/>
        <c:lblAlgn val="ctr"/>
        <c:lblOffset val="100"/>
        <c:noMultiLvlLbl val="0"/>
      </c:catAx>
      <c:valAx>
        <c:axId val="3907405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0740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[Excel+Report+1+Data.xlsx]Pivot_AvgExpense!PivotTable5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Average</a:t>
            </a:r>
            <a:r>
              <a:rPr lang="en-US" b="1" i="1" baseline="0"/>
              <a:t> Expense for Each Category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1" i="1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bg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Pivot_AvgExpense!$B$3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CB-48B1-8FDC-975B39CDC8C2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CB-48B1-8FDC-975B39CDC8C2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CB-48B1-8FDC-975B39CDC8C2}"/>
              </c:ext>
            </c:extLst>
          </c:dPt>
          <c:dPt>
            <c:idx val="3"/>
            <c:bubble3D val="0"/>
            <c:spPr>
              <a:solidFill>
                <a:schemeClr val="bg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9CB-48B1-8FDC-975B39CDC8C2}"/>
              </c:ext>
            </c:extLst>
          </c:dPt>
          <c:dPt>
            <c:idx val="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9CB-48B1-8FDC-975B39CDC8C2}"/>
              </c:ext>
            </c:extLst>
          </c:dPt>
          <c:dPt>
            <c:idx val="5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9CB-48B1-8FDC-975B39CDC8C2}"/>
              </c:ext>
            </c:extLst>
          </c:dPt>
          <c:dLbls>
            <c:spPr>
              <a:solidFill>
                <a:srgbClr val="4472C4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1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Pivot_AvgExpense!$A$4:$A$10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Pivot_AvgExpense!$B$4:$B$10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CB-48B1-8FDC-975B39CDC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</xdr:row>
      <xdr:rowOff>42862</xdr:rowOff>
    </xdr:from>
    <xdr:to>
      <xdr:col>10</xdr:col>
      <xdr:colOff>561975</xdr:colOff>
      <xdr:row>14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30841-8135-8B79-4FAB-8C61512FCF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4</xdr:row>
      <xdr:rowOff>33337</xdr:rowOff>
    </xdr:from>
    <xdr:to>
      <xdr:col>11</xdr:col>
      <xdr:colOff>219075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A9EA6C-4FF9-22C4-BA58-6CDF3A9C63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119062</xdr:rowOff>
    </xdr:from>
    <xdr:to>
      <xdr:col>13</xdr:col>
      <xdr:colOff>381000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07614-4B6A-C738-58F8-DDFDF14DE1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2</xdr:row>
      <xdr:rowOff>128587</xdr:rowOff>
    </xdr:from>
    <xdr:to>
      <xdr:col>11</xdr:col>
      <xdr:colOff>590550</xdr:colOff>
      <xdr:row>17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1AC3C1-0FD3-1D86-96B5-2403D61F2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3</xdr:row>
      <xdr:rowOff>4762</xdr:rowOff>
    </xdr:from>
    <xdr:to>
      <xdr:col>10</xdr:col>
      <xdr:colOff>381000</xdr:colOff>
      <xdr:row>17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BBC82-E435-C816-013D-A9C5111FD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9</xdr:col>
      <xdr:colOff>435428</xdr:colOff>
      <xdr:row>15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EFB009-5119-421F-A700-462E530AC1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149680</xdr:colOff>
      <xdr:row>3</xdr:row>
      <xdr:rowOff>40821</xdr:rowOff>
    </xdr:from>
    <xdr:to>
      <xdr:col>20</xdr:col>
      <xdr:colOff>190501</xdr:colOff>
      <xdr:row>16</xdr:row>
      <xdr:rowOff>81643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E7CAA4-19C7-45A4-BD70-5CD7196E5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13607</xdr:colOff>
      <xdr:row>16</xdr:row>
      <xdr:rowOff>163283</xdr:rowOff>
    </xdr:from>
    <xdr:to>
      <xdr:col>26</xdr:col>
      <xdr:colOff>375557</xdr:colOff>
      <xdr:row>32</xdr:row>
      <xdr:rowOff>136070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A13C74-044E-4348-8C1A-F833D216E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16</xdr:row>
      <xdr:rowOff>190499</xdr:rowOff>
    </xdr:from>
    <xdr:to>
      <xdr:col>9</xdr:col>
      <xdr:colOff>95250</xdr:colOff>
      <xdr:row>32</xdr:row>
      <xdr:rowOff>176892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24C209-C814-468B-88D7-EEF3B2237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326571</xdr:colOff>
      <xdr:row>16</xdr:row>
      <xdr:rowOff>149678</xdr:rowOff>
    </xdr:from>
    <xdr:to>
      <xdr:col>17</xdr:col>
      <xdr:colOff>35719</xdr:colOff>
      <xdr:row>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EF4E6C-8F17-4A7C-83AD-7F4FA4C74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ex computers" refreshedDate="46127.538502430558" createdVersion="8" refreshedVersion="8" minRefreshableVersion="3" recordCount="2000" xr:uid="{B9228E14-8EBD-47B2-B736-3537E7AAA9A7}">
  <cacheSource type="worksheet">
    <worksheetSource ref="A1:L2001" sheet="Raw_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85C53-84E4-4917-83D6-2C4C0DDF40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aymemnt method 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2">
    <format dxfId="10">
      <pivotArea collapsedLevelsAreSubtotals="1" fieldPosition="0">
        <references count="1">
          <reference field="10" count="1">
            <x v="0"/>
          </reference>
        </references>
      </pivotArea>
    </format>
    <format dxfId="9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8008D4-3035-4FEE-8F1E-3FF2EE33FFE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 line 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218B9C-D9EF-402D-9DF8-1545654E1D1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5" type="button" dataOnly="0" labelOnly="1" outline="0" axis="axisRow" fieldPosition="0"/>
    </format>
    <format dxfId="4">
      <pivotArea dataOnly="0" labelOnly="1" fieldPosition="0">
        <references count="1">
          <reference field="5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2777A7-7D51-428F-8421-2246B04C1CE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CE6EF-2460-4667-B78A-BB292229BD4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5" x14ac:dyDescent="0.25"/>
  <cols>
    <col min="1" max="1" width="18.7109375" bestFit="1" customWidth="1"/>
    <col min="2" max="2" width="17.85546875" bestFit="1" customWidth="1"/>
    <col min="3" max="3" width="10.5703125" bestFit="1" customWidth="1"/>
    <col min="4" max="4" width="9.28515625" bestFit="1" customWidth="1"/>
    <col min="5" max="5" width="10.5703125" bestFit="1" customWidth="1"/>
    <col min="6" max="6" width="9" bestFit="1" customWidth="1"/>
    <col min="7" max="7" width="11.28515625" bestFit="1" customWidth="1"/>
  </cols>
  <sheetData>
    <row r="1" spans="1:7" x14ac:dyDescent="0.25">
      <c r="A1" s="3" t="s">
        <v>9</v>
      </c>
      <c r="B1" t="s">
        <v>2045</v>
      </c>
    </row>
    <row r="2" spans="1:7" x14ac:dyDescent="0.25">
      <c r="A2" s="3" t="s">
        <v>7</v>
      </c>
      <c r="B2" t="s">
        <v>15</v>
      </c>
    </row>
    <row r="4" spans="1:7" x14ac:dyDescent="0.25">
      <c r="A4" s="3" t="s">
        <v>2038</v>
      </c>
      <c r="B4" s="3" t="s">
        <v>2039</v>
      </c>
    </row>
    <row r="5" spans="1:7" x14ac:dyDescent="0.2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2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2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2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2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2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2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25">
      <c r="A13" s="3" t="s">
        <v>10</v>
      </c>
      <c r="B13" t="s">
        <v>2045</v>
      </c>
    </row>
    <row r="15" spans="1:7" x14ac:dyDescent="0.25">
      <c r="A15" s="3" t="s">
        <v>6</v>
      </c>
      <c r="B15" s="3" t="s">
        <v>8</v>
      </c>
      <c r="C15" t="s">
        <v>2038</v>
      </c>
    </row>
    <row r="16" spans="1:7" x14ac:dyDescent="0.25">
      <c r="A16" t="s">
        <v>40</v>
      </c>
      <c r="B16" t="s">
        <v>41</v>
      </c>
      <c r="C16" s="5">
        <v>139099</v>
      </c>
    </row>
    <row r="17" spans="1:3" x14ac:dyDescent="0.25">
      <c r="B17" t="s">
        <v>27</v>
      </c>
      <c r="C17" s="5">
        <v>378352</v>
      </c>
    </row>
    <row r="18" spans="1:3" x14ac:dyDescent="0.25">
      <c r="B18" t="s">
        <v>22</v>
      </c>
      <c r="C18" s="5">
        <v>132938</v>
      </c>
    </row>
    <row r="19" spans="1:3" x14ac:dyDescent="0.25">
      <c r="B19" t="s">
        <v>31</v>
      </c>
      <c r="C19" s="5">
        <v>465128</v>
      </c>
    </row>
    <row r="20" spans="1:3" x14ac:dyDescent="0.25">
      <c r="B20" t="s">
        <v>16</v>
      </c>
      <c r="C20" s="5">
        <v>144667</v>
      </c>
    </row>
    <row r="21" spans="1:3" x14ac:dyDescent="0.25">
      <c r="A21" t="s">
        <v>2041</v>
      </c>
      <c r="C21" s="5">
        <v>1260184</v>
      </c>
    </row>
    <row r="22" spans="1:3" x14ac:dyDescent="0.25">
      <c r="A22" t="s">
        <v>30</v>
      </c>
      <c r="B22" t="s">
        <v>41</v>
      </c>
      <c r="C22" s="5">
        <v>268316</v>
      </c>
    </row>
    <row r="23" spans="1:3" x14ac:dyDescent="0.25">
      <c r="B23" t="s">
        <v>27</v>
      </c>
      <c r="C23" s="5">
        <v>187730</v>
      </c>
    </row>
    <row r="24" spans="1:3" x14ac:dyDescent="0.25">
      <c r="B24" t="s">
        <v>22</v>
      </c>
      <c r="C24" s="5">
        <v>191265</v>
      </c>
    </row>
    <row r="25" spans="1:3" x14ac:dyDescent="0.25">
      <c r="B25" t="s">
        <v>31</v>
      </c>
      <c r="C25" s="5">
        <v>549053</v>
      </c>
    </row>
    <row r="26" spans="1:3" x14ac:dyDescent="0.25">
      <c r="B26" t="s">
        <v>16</v>
      </c>
      <c r="C26" s="5">
        <v>186486</v>
      </c>
    </row>
    <row r="27" spans="1:3" x14ac:dyDescent="0.25">
      <c r="A27" t="s">
        <v>2040</v>
      </c>
      <c r="C27" s="5">
        <v>1382850</v>
      </c>
    </row>
    <row r="28" spans="1:3" x14ac:dyDescent="0.25">
      <c r="A28" t="s">
        <v>14</v>
      </c>
      <c r="B28" t="s">
        <v>41</v>
      </c>
      <c r="C28" s="5">
        <v>436037</v>
      </c>
    </row>
    <row r="29" spans="1:3" x14ac:dyDescent="0.25">
      <c r="B29" t="s">
        <v>27</v>
      </c>
      <c r="C29" s="5">
        <v>278836</v>
      </c>
    </row>
    <row r="30" spans="1:3" x14ac:dyDescent="0.25">
      <c r="B30" t="s">
        <v>22</v>
      </c>
      <c r="C30" s="5">
        <v>193813</v>
      </c>
    </row>
    <row r="31" spans="1:3" x14ac:dyDescent="0.25">
      <c r="B31" t="s">
        <v>31</v>
      </c>
      <c r="C31" s="5">
        <v>1009798</v>
      </c>
    </row>
    <row r="32" spans="1:3" x14ac:dyDescent="0.25">
      <c r="B32" t="s">
        <v>16</v>
      </c>
      <c r="C32" s="5">
        <v>357008</v>
      </c>
    </row>
    <row r="33" spans="1:3" x14ac:dyDescent="0.25">
      <c r="A33" t="s">
        <v>2042</v>
      </c>
      <c r="C33" s="5">
        <v>2275492</v>
      </c>
    </row>
    <row r="34" spans="1:3" x14ac:dyDescent="0.25">
      <c r="A34" t="s">
        <v>26</v>
      </c>
      <c r="B34" t="s">
        <v>41</v>
      </c>
      <c r="C34" s="5">
        <v>276126</v>
      </c>
    </row>
    <row r="35" spans="1:3" x14ac:dyDescent="0.25">
      <c r="B35" t="s">
        <v>27</v>
      </c>
      <c r="C35" s="5">
        <v>377912</v>
      </c>
    </row>
    <row r="36" spans="1:3" x14ac:dyDescent="0.25">
      <c r="B36" t="s">
        <v>22</v>
      </c>
      <c r="C36" s="5">
        <v>164690</v>
      </c>
    </row>
    <row r="37" spans="1:3" x14ac:dyDescent="0.25">
      <c r="B37" t="s">
        <v>31</v>
      </c>
      <c r="C37" s="5">
        <v>1012699</v>
      </c>
    </row>
    <row r="38" spans="1:3" x14ac:dyDescent="0.25">
      <c r="B38" t="s">
        <v>16</v>
      </c>
      <c r="C38" s="5">
        <v>540954</v>
      </c>
    </row>
    <row r="39" spans="1:3" x14ac:dyDescent="0.25">
      <c r="A39" t="s">
        <v>2043</v>
      </c>
      <c r="C39" s="5">
        <v>2372381</v>
      </c>
    </row>
    <row r="40" spans="1:3" x14ac:dyDescent="0.25">
      <c r="A40" t="s">
        <v>36</v>
      </c>
      <c r="B40" t="s">
        <v>41</v>
      </c>
      <c r="C40" s="5">
        <v>698345</v>
      </c>
    </row>
    <row r="41" spans="1:3" x14ac:dyDescent="0.25">
      <c r="B41" t="s">
        <v>27</v>
      </c>
      <c r="C41" s="5">
        <v>1162918</v>
      </c>
    </row>
    <row r="42" spans="1:3" x14ac:dyDescent="0.25">
      <c r="B42" t="s">
        <v>22</v>
      </c>
      <c r="C42" s="5">
        <v>620620</v>
      </c>
    </row>
    <row r="43" spans="1:3" x14ac:dyDescent="0.25">
      <c r="B43" t="s">
        <v>31</v>
      </c>
      <c r="C43" s="5">
        <v>2243948</v>
      </c>
    </row>
    <row r="44" spans="1:3" x14ac:dyDescent="0.25">
      <c r="B44" t="s">
        <v>16</v>
      </c>
      <c r="C44" s="5">
        <v>626361</v>
      </c>
    </row>
    <row r="45" spans="1:3" x14ac:dyDescent="0.25">
      <c r="A45" t="s">
        <v>2044</v>
      </c>
      <c r="C45" s="5">
        <v>5352192</v>
      </c>
    </row>
    <row r="46" spans="1:3" x14ac:dyDescent="0.25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7054-54E7-4143-8E6F-536EC0BF8D97}">
  <dimension ref="A3:B8"/>
  <sheetViews>
    <sheetView tabSelected="1" workbookViewId="0">
      <selection activeCell="B20" sqref="B20"/>
    </sheetView>
  </sheetViews>
  <sheetFormatPr defaultRowHeight="15" x14ac:dyDescent="0.25"/>
  <cols>
    <col min="1" max="1" width="21" bestFit="1" customWidth="1"/>
    <col min="2" max="2" width="14.28515625" bestFit="1" customWidth="1"/>
  </cols>
  <sheetData>
    <row r="3" spans="1:2" x14ac:dyDescent="0.25">
      <c r="A3" s="3" t="s">
        <v>2050</v>
      </c>
      <c r="B3" t="s">
        <v>2046</v>
      </c>
    </row>
    <row r="4" spans="1:2" x14ac:dyDescent="0.25">
      <c r="A4" s="4" t="s">
        <v>24</v>
      </c>
      <c r="B4" s="5">
        <v>3629433</v>
      </c>
    </row>
    <row r="5" spans="1:2" x14ac:dyDescent="0.25">
      <c r="A5" s="4" t="s">
        <v>18</v>
      </c>
      <c r="B5" s="5">
        <v>9013666</v>
      </c>
    </row>
    <row r="6" spans="1:2" x14ac:dyDescent="0.25">
      <c r="A6" s="4" t="s">
        <v>33</v>
      </c>
      <c r="B6" s="5">
        <v>5030165</v>
      </c>
    </row>
    <row r="7" spans="1:2" x14ac:dyDescent="0.25">
      <c r="A7" s="4" t="s">
        <v>51</v>
      </c>
      <c r="B7" s="5">
        <v>2820265</v>
      </c>
    </row>
    <row r="8" spans="1:2" x14ac:dyDescent="0.25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145C-59E0-4176-8A16-32E3CFF482F2}">
  <dimension ref="A3:B9"/>
  <sheetViews>
    <sheetView workbookViewId="0">
      <selection activeCell="B15" sqref="B15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2049</v>
      </c>
      <c r="B3" t="s">
        <v>2048</v>
      </c>
    </row>
    <row r="4" spans="1:2" x14ac:dyDescent="0.25">
      <c r="A4" s="4" t="s">
        <v>41</v>
      </c>
      <c r="B4" s="5">
        <v>8585057</v>
      </c>
    </row>
    <row r="5" spans="1:2" x14ac:dyDescent="0.25">
      <c r="A5" s="4" t="s">
        <v>27</v>
      </c>
      <c r="B5" s="5">
        <v>10199670</v>
      </c>
    </row>
    <row r="6" spans="1:2" x14ac:dyDescent="0.25">
      <c r="A6" s="4" t="s">
        <v>22</v>
      </c>
      <c r="B6" s="5">
        <v>5496803</v>
      </c>
    </row>
    <row r="7" spans="1:2" x14ac:dyDescent="0.25">
      <c r="A7" s="4" t="s">
        <v>31</v>
      </c>
      <c r="B7" s="5">
        <v>21863582</v>
      </c>
    </row>
    <row r="8" spans="1:2" x14ac:dyDescent="0.25">
      <c r="A8" s="4" t="s">
        <v>16</v>
      </c>
      <c r="B8" s="5">
        <v>7820463</v>
      </c>
    </row>
    <row r="9" spans="1:2" x14ac:dyDescent="0.25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23F80-98D5-4AC6-ADA6-59F3D9D659EE}">
  <dimension ref="A3:D9"/>
  <sheetViews>
    <sheetView workbookViewId="0">
      <selection activeCell="D18" sqref="D18"/>
    </sheetView>
  </sheetViews>
  <sheetFormatPr defaultRowHeight="15" x14ac:dyDescent="0.25"/>
  <cols>
    <col min="1" max="1" width="13.140625" bestFit="1" customWidth="1"/>
    <col min="2" max="2" width="15.7109375" bestFit="1" customWidth="1"/>
    <col min="3" max="3" width="16.140625" bestFit="1" customWidth="1"/>
    <col min="4" max="4" width="14.28515625" bestFit="1" customWidth="1"/>
  </cols>
  <sheetData>
    <row r="3" spans="1:4" x14ac:dyDescent="0.25">
      <c r="A3" s="6" t="s">
        <v>2047</v>
      </c>
      <c r="B3" s="5" t="s">
        <v>2048</v>
      </c>
      <c r="C3" s="5" t="s">
        <v>2051</v>
      </c>
      <c r="D3" s="5" t="s">
        <v>2046</v>
      </c>
    </row>
    <row r="4" spans="1:4" x14ac:dyDescent="0.25">
      <c r="A4" s="7" t="s">
        <v>15</v>
      </c>
      <c r="B4" s="5">
        <v>5399448</v>
      </c>
      <c r="C4" s="5">
        <v>3247742</v>
      </c>
      <c r="D4" s="5">
        <v>2151706</v>
      </c>
    </row>
    <row r="5" spans="1:4" x14ac:dyDescent="0.25">
      <c r="A5" s="7" t="s">
        <v>35</v>
      </c>
      <c r="B5" s="5">
        <v>8755912</v>
      </c>
      <c r="C5" s="5">
        <v>5417002</v>
      </c>
      <c r="D5" s="5">
        <v>3338910</v>
      </c>
    </row>
    <row r="6" spans="1:4" x14ac:dyDescent="0.25">
      <c r="A6" s="7" t="s">
        <v>20</v>
      </c>
      <c r="B6" s="5">
        <v>7058076</v>
      </c>
      <c r="C6" s="5">
        <v>4291785</v>
      </c>
      <c r="D6" s="5">
        <v>2766291</v>
      </c>
    </row>
    <row r="7" spans="1:4" x14ac:dyDescent="0.25">
      <c r="A7" s="7" t="s">
        <v>13</v>
      </c>
      <c r="B7" s="5">
        <v>22711986</v>
      </c>
      <c r="C7" s="5">
        <v>14381610</v>
      </c>
      <c r="D7" s="5">
        <v>8330376</v>
      </c>
    </row>
    <row r="8" spans="1:4" x14ac:dyDescent="0.25">
      <c r="A8" s="7" t="s">
        <v>29</v>
      </c>
      <c r="B8" s="5">
        <v>10040153</v>
      </c>
      <c r="C8" s="5">
        <v>6133907</v>
      </c>
      <c r="D8" s="5">
        <v>3906246</v>
      </c>
    </row>
    <row r="9" spans="1:4" x14ac:dyDescent="0.25">
      <c r="A9" s="7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3B69C-6B03-4A61-9D1E-B0D27668DAF2}">
  <dimension ref="A3:B9"/>
  <sheetViews>
    <sheetView workbookViewId="0">
      <selection activeCell="E20" sqref="E20"/>
    </sheetView>
  </sheetViews>
  <sheetFormatPr defaultRowHeight="15" x14ac:dyDescent="0.25"/>
  <cols>
    <col min="1" max="1" width="14" bestFit="1" customWidth="1"/>
    <col min="2" max="2" width="22.42578125" bestFit="1" customWidth="1"/>
  </cols>
  <sheetData>
    <row r="3" spans="1:2" x14ac:dyDescent="0.25">
      <c r="A3" s="3" t="s">
        <v>2047</v>
      </c>
      <c r="B3" t="s">
        <v>2052</v>
      </c>
    </row>
    <row r="4" spans="1:2" x14ac:dyDescent="0.25">
      <c r="A4" s="4" t="s">
        <v>36</v>
      </c>
      <c r="B4">
        <v>818</v>
      </c>
    </row>
    <row r="5" spans="1:2" x14ac:dyDescent="0.25">
      <c r="A5" s="4" t="s">
        <v>40</v>
      </c>
      <c r="B5">
        <v>258</v>
      </c>
    </row>
    <row r="6" spans="1:2" x14ac:dyDescent="0.25">
      <c r="A6" s="4" t="s">
        <v>14</v>
      </c>
      <c r="B6">
        <v>314</v>
      </c>
    </row>
    <row r="7" spans="1:2" x14ac:dyDescent="0.25">
      <c r="A7" s="4" t="s">
        <v>26</v>
      </c>
      <c r="B7">
        <v>411</v>
      </c>
    </row>
    <row r="8" spans="1:2" x14ac:dyDescent="0.25">
      <c r="A8" s="4" t="s">
        <v>30</v>
      </c>
      <c r="B8">
        <v>199</v>
      </c>
    </row>
    <row r="9" spans="1:2" x14ac:dyDescent="0.25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F3809-876F-41C9-B892-5795EBDFE5BE}">
  <dimension ref="A3:B10"/>
  <sheetViews>
    <sheetView workbookViewId="0">
      <selection activeCell="J21" sqref="J21"/>
    </sheetView>
  </sheetViews>
  <sheetFormatPr defaultRowHeight="15" x14ac:dyDescent="0.25"/>
  <cols>
    <col min="1" max="1" width="13.140625" bestFit="1" customWidth="1"/>
    <col min="2" max="2" width="21" bestFit="1" customWidth="1"/>
  </cols>
  <sheetData>
    <row r="3" spans="1:2" x14ac:dyDescent="0.25">
      <c r="A3" s="3" t="s">
        <v>2047</v>
      </c>
      <c r="B3" s="5" t="s">
        <v>2053</v>
      </c>
    </row>
    <row r="4" spans="1:2" x14ac:dyDescent="0.25">
      <c r="A4" s="4" t="s">
        <v>45</v>
      </c>
      <c r="B4" s="5">
        <v>15749.475903614459</v>
      </c>
    </row>
    <row r="5" spans="1:2" x14ac:dyDescent="0.25">
      <c r="A5" s="4" t="s">
        <v>15</v>
      </c>
      <c r="B5" s="5">
        <v>17351.541666666668</v>
      </c>
    </row>
    <row r="6" spans="1:2" x14ac:dyDescent="0.25">
      <c r="A6" s="4" t="s">
        <v>21</v>
      </c>
      <c r="B6" s="5">
        <v>16810.526576019776</v>
      </c>
    </row>
    <row r="7" spans="1:2" x14ac:dyDescent="0.25">
      <c r="A7" s="4" t="s">
        <v>35</v>
      </c>
      <c r="B7" s="5">
        <v>16478.297945205479</v>
      </c>
    </row>
    <row r="8" spans="1:2" x14ac:dyDescent="0.25">
      <c r="A8" s="4" t="s">
        <v>20</v>
      </c>
      <c r="B8" s="5">
        <v>17174.339449541283</v>
      </c>
    </row>
    <row r="9" spans="1:2" x14ac:dyDescent="0.25">
      <c r="A9" s="4" t="s">
        <v>29</v>
      </c>
      <c r="B9" s="5">
        <v>16627.71517027864</v>
      </c>
    </row>
    <row r="10" spans="1:2" x14ac:dyDescent="0.25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C295-F59A-417B-BAC2-A2122FF58F45}">
  <dimension ref="A1:AA3"/>
  <sheetViews>
    <sheetView showGridLines="0" showRowColHeaders="0" zoomScale="60" zoomScaleNormal="60" workbookViewId="0">
      <selection activeCell="Z13" sqref="Z13"/>
    </sheetView>
  </sheetViews>
  <sheetFormatPr defaultRowHeight="15" x14ac:dyDescent="0.25"/>
  <sheetData>
    <row r="1" spans="1:27" ht="15" customHeight="1" x14ac:dyDescent="0.25">
      <c r="A1" s="9" t="s">
        <v>2054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8"/>
      <c r="Z1" s="8"/>
      <c r="AA1" s="8"/>
    </row>
    <row r="2" spans="1:27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</row>
    <row r="3" spans="1:27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8"/>
      <c r="Z3" s="8"/>
      <c r="AA3" s="8"/>
    </row>
  </sheetData>
  <mergeCells count="1">
    <mergeCell ref="A1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/>
  </sheetViews>
  <sheetFormatPr defaultRowHeight="15" x14ac:dyDescent="0.25"/>
  <cols>
    <col min="1" max="1" width="15.5703125" customWidth="1"/>
    <col min="2" max="2" width="17.5703125" customWidth="1"/>
    <col min="3" max="3" width="11.85546875" customWidth="1"/>
    <col min="4" max="4" width="11.28515625" customWidth="1"/>
    <col min="5" max="5" width="10.85546875" customWidth="1"/>
    <col min="6" max="6" width="14.85546875" customWidth="1"/>
    <col min="7" max="7" width="16.7109375" customWidth="1"/>
    <col min="8" max="8" width="14.7109375" customWidth="1"/>
    <col min="9" max="9" width="15.140625" customWidth="1"/>
    <col min="10" max="10" width="18.7109375" customWidth="1"/>
    <col min="11" max="11" width="20" customWidth="1"/>
    <col min="12" max="12" width="13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2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2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2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2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2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2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2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2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2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2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2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2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2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2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2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2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2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2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2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2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2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2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2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2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2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2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2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2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2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2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2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2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2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2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2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2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2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2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2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2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2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2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2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2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2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2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2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2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2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2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2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2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2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2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2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2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2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2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2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2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2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2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2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2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2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2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2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2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2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2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2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2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2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2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2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2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2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2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2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2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2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2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2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2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2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2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2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2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2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2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2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2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2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2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2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2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2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2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2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2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2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2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2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2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2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2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2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2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2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2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2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2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2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2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2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2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2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2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2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2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2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2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2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2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2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2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2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2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2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2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2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2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2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2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2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2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2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2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2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2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2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2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2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2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2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2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2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2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2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2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2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2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2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2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2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2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2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2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2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2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2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2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2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2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2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2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2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2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2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2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2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2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2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2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2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2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2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2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2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2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2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2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2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2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2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2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2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2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2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2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2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2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2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2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2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2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2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2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2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2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2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2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2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2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2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2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2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2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2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2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2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2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2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2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2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2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2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2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2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2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2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2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2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2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2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2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2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2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2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2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2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2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2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2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2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2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2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2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2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2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2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2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2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2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2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2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2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2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2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2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2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2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2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2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2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2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2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2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2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2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2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2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2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2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2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2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2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2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2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2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2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2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2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2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2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2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2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2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2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2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2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2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2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2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2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2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2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2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2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2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2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2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2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2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2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2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2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2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2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2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2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2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2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2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2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2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2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2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2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2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2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2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2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2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2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2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2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2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2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2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2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2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2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2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2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2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2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2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2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2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2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2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2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2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2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2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2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2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2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2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2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2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2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2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2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2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2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2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2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2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2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2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2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2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2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2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2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2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2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2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2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2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2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2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2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2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2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2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2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2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2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2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2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2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2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2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2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2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2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2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2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2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2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2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2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2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2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2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2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2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2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2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2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2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2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2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2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2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2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2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2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2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2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2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2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2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2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2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2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2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2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2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2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2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2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2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2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2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2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2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2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2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2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2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2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2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2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2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2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2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2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2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2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2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2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2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2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2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2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2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2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2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2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2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2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2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2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2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2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2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2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2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2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2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2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2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2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2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2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2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2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2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2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2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2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2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2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2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2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2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2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2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2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2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2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2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2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2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2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2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2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2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2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2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2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2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2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2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2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2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2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2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2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2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2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2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2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2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2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2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2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2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2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2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2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2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2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2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2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2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2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2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2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2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2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2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2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2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2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2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2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2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2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2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2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2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2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2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2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2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2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2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2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2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2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2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2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2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2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2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2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2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2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2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2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2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2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2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2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2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2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2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2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2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2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2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2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2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2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2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2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2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2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2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2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2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2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2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2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2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2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2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2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2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2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2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2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2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2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2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2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2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2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2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2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2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2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2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2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2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2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2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2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2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2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2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2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2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2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2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2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2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2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2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2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2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2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2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2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2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2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2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2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2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2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2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2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2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2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2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2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2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2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2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2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2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2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2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2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2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2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2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2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2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2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2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2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2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2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2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2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2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2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2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2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2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2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2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2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2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2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2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2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2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2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2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2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2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2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2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2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2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2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2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2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2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2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2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2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2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2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2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2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2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2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2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2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2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2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2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2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2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2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2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2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2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2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2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2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2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2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2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2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2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2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2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2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2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2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2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2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2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2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2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2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2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2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2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2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2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2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2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2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2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2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2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2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2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2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2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2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2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2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2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2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2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2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2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2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2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2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2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2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2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2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2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2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2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2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2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2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2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2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2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2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2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2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2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2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2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2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2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2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2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2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2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2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2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2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2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2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2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2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2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2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2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2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2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2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2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2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2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2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2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2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2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2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2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2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2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2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2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2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2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2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2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2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2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2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2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2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2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2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2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2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2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2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2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2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2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2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2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2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2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2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2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2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2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2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2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2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2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2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2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2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2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2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2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2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2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2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2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2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2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2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2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2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2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2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2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2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2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2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2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2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2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2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2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2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2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2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2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2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2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2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2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2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2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2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2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2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2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2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2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2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2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2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2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2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2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2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2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2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2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2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2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2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2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2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2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2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2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2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2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2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2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2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2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2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2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2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2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2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2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2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2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2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2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2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2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2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2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2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2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2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2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2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2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2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2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2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2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2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2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2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2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2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2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2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2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2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2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2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2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2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2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2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2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2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2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2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2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2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2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2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2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2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2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2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2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2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2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2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2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2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2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2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2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2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2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2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2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2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2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2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2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2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2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2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2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2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2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2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2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2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2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2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2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2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2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2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2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2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2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2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2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2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2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2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2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2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2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2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2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2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2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2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2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2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2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2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2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2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2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2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2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2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2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2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2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2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2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2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2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2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2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2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2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2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2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2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2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2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2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2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2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2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2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2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2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2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2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2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2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2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2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2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2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2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2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2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2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2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2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2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2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2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2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2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2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2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2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2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2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2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2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2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2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2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2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2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2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2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2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2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2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2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2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2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2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2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2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2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2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2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2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2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2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2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2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2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2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2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2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2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2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2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2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2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2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2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2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2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2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2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2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2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2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2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2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2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2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2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2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2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2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2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2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2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2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2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2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2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2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2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2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2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2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2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2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2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2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2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2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2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2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2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2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2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2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2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2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2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2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2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2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2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2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2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2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2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2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2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2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2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2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2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2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2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2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2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2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2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2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2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2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2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2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2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2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2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2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2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2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2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2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2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2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2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2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2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2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2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2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2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2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2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2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2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2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2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2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2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2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2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2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2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2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2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2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2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2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2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2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2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2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2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2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2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2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2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2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2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2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2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2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2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2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2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2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2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2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2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2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2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2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2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2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2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2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2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2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2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2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2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2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2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2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2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2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2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2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2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2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2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2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2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2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2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2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2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2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2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2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2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2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2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2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2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2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2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2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2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2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2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2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2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2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2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2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2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2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2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2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2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2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2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2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2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2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2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2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2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2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2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2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2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2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2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2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2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2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2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2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2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2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2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2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2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2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2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2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2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2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2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2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2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2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2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2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2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2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2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2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2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2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2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2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2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2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2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2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2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2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2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2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2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2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2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2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2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2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2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2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2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2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2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2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2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2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2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2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2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2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2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2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2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2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2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2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2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2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2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2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2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2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2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2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2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2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2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2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2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2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2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2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2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2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2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2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2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2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2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2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2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2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2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2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2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2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2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2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2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2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2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2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2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2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2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2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2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2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2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2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2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2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2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2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2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2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2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2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2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2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2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2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2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2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2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2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2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2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2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2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2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2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2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2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2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2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2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2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2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2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2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2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2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2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2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2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2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2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2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2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2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2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2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2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2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2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2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2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2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2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2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2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2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2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2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2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2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2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2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2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2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2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2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2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2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2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2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2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2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2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2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2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2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2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2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2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2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2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2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2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2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2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2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2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2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2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2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2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2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2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2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2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2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2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2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2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2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2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2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2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2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2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2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2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2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2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2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2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2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2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2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2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2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2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2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2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2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2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2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2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2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2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2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2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2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2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2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2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2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2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2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2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2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2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2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2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2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2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2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2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2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2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2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2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2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2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2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2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2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2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2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2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2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2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2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2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2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2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2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2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2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2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2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2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2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2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2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2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2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2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2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2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2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2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2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2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2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2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2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2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2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2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2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2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2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2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2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2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2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2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2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2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2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2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2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2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2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2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2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2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2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2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2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2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2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2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2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2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2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2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2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2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2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2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2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2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2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2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2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2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2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2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2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2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2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2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2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2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2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2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2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2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2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2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2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2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2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2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2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2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2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2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2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2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2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2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2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2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2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2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2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2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2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2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2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2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2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2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2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2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2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2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2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2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2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2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2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2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2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2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2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2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2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2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2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2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2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2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2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2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2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2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2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2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2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2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2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2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2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2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2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2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2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2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2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2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2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2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2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2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2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2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2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2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2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2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2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2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2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2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2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2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2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2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2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2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2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2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2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2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2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2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2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2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2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2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2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2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2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2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2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2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2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2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2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2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2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2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2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2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2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2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2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2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2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2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2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2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2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2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2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2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2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2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2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2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2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2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2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2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2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2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2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2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2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2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2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2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2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2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2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2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2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2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2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2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2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2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2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2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2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2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2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2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2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2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2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2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2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2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2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2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2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2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2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2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2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2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2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2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2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2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2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2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2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2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2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2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2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2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2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2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2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2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2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2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2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2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2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2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2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2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2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2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2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2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2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2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2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2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2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2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2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2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2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2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2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2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2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2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2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2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2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2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2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2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2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2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2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2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2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2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2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2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2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2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2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2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2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2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2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2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2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2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2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2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2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2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2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2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2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2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2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2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2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2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2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2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2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2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2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2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2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2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2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2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2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2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2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2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2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2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2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2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2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2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2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2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2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2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2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2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2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2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2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2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2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2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2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2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2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2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2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2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2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2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2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2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2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2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2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2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2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2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2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2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2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2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2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2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2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2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2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2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2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2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2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2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2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2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2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2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2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2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2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2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2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2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2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2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2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2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2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2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2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2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2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2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2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2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2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2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2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2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2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2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2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2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2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2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2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2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2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2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2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2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2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2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2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2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2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2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2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2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2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2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2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2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2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2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2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2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2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2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2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2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2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2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2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2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2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2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2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2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2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2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2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2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2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2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2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2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2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2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2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2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2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2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2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2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2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2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2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2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2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2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2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2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2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2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2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2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2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2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2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Pivot_PaymentMethod</vt:lpstr>
      <vt:lpstr>Pivot_ProductLine</vt:lpstr>
      <vt:lpstr>Pivot_Department</vt:lpstr>
      <vt:lpstr>Pivot_Region</vt:lpstr>
      <vt:lpstr>Pivot_AvgExpense</vt:lpstr>
      <vt:lpstr>Dashboard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Ayesha Waqar</cp:lastModifiedBy>
  <dcterms:created xsi:type="dcterms:W3CDTF">2015-06-05T18:17:20Z</dcterms:created>
  <dcterms:modified xsi:type="dcterms:W3CDTF">2026-09-23T08:07:50Z</dcterms:modified>
</cp:coreProperties>
</file>